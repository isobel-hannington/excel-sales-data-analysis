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0" documentId="8_{C0AC977B-99E3-4C81-84EA-63DD2D3D44D8}" xr6:coauthVersionLast="47" xr6:coauthVersionMax="47" xr10:uidLastSave="{00000000-0000-0000-0000-000000000000}"/>
  <bookViews>
    <workbookView xWindow="-120" yWindow="-120" windowWidth="29040" windowHeight="15225" firstSheet="1" activeTab="1" xr2:uid="{00000000-000D-0000-FFFF-FFFF00000000}"/>
  </bookViews>
  <sheets>
    <sheet name="Bike Sales" sheetId="1" r:id="rId1"/>
    <sheet name="Sheet1" sheetId="2" r:id="rId2"/>
  </sheets>
  <definedNames>
    <definedName name="_xlnm._FilterDatabase" localSheetId="0" hidden="1">'Bike Sales'!$A$1:$S$89</definedName>
  </definedNames>
  <calcPr calcId="191028"/>
  <pivotCaches>
    <pivotCache cacheId="2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<sst xmlns="http://schemas.openxmlformats.org/spreadsheetml/2006/main" count="844" uniqueCount="164">
  <si>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</si>
  <si>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</si>
  <si>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</si>
  <si>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</si>
  <si>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</si>
  <si>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</si>
  <si>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</si>
  <si>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</si>
  <si>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</si>
  <si>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</si>
  <si>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</si>
  <si>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</si>
  <si>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</si>
  <si>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</si>
  <si>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</si>
  <si>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</si>
  <si>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</si>
  <si>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</si>
  <si>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</si>
  <si>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</si>
  <si>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</si>
  <si>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</si>
  <si>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</si>
  <si>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</si>
  <si>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</si>
  <si>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</si>
  <si>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</si>
  <si>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</si>
  <si>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</si>
  <si>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</si>
  <si>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</si>
  <si>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</si>
  <si>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</si>
  <si>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</si>
  <si>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</si>
  <si>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</si>
  <si>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</si>
  <si>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</si>
  <si>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</si>
  <si>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</si>
  <si>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</si>
  <si>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</si>
  <si>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</si>
  <si>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</si>
  <si>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</si>
  <si>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</si>
  <si>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</si>
  <si>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</si>
  <si>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</si>
  <si>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</si>
  <si>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</si>
  <si>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</si>
  <si>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</si>
  <si>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</si>
  <si>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</si>
  <si>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</si>
  <si>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</si>
  <si>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</si>
  <si>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</si>
  <si>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</si>
  <si>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</si>
  <si>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</si>
  <si>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</si>
  <si>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</si>
  <si>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</si>
  <si>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</si>
  <si>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</si>
  <si>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</si>
  <si>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</si>
  <si>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</si>
  <si>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</si>
  <si>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</si>
  <si>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</si>
  <si>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</si>
  <si>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</si>
  <si>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</si>
  <si>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</si>
  <si>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</si>
  <si>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</si>
  <si>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</si>
  <si>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</si>
  <si>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</si>
  <si>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</si>
  <si>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</si>
  <si>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</si>
  <si>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</si>
  <si>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</si>
  <si>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</si>
  <si>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</si>
  <si>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</si>
  <si>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</si>
  <si>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</si>
  <si>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</si>
  <si>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</si>
  <si>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</si>
  <si>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</si>
  <si>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</si>
  <si>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</si>
  <si>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</si>
  <si>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</si>
  <si>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</si>
  <si>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</si>
  <si>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</si>
  <si>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</si>
  <si>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</si>
  <si>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</si>
  <si>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</si>
  <si>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</si>
  <si>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</si>
  <si>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</si>
  <si>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</si>
  <si>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</si>
  <si>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</si>
  <si>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</si>
  <si>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</si>
  <si>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</si>
  <si>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</si>
  <si>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</si>
  <si>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</si>
  <si>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</si>
  <si>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</si>
  <si>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</si>
  <si>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</si>
  <si>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</si>
  <si>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</si>
  <si>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</si>
  <si>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</si>
  <si>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</si>
  <si>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</si>
  <si>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</si>
  <si>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</si>
  <si>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</si>
  <si>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</si>
  <si>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</si>
  <si>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</si>
  <si>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</si>
  <si>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</si>
  <si>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</si>
  <si>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</si>
  <si>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</si>
  <si>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</si>
  <si>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</si>
  <si>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</si>
  <si>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</si>
  <si>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</si>
  <si>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</si>
  <si>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</si>
  <si>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</si>
  <si>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</si>
  <si>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</si>
  <si>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</si>
  <si>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</si>
  <si>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</si>
  <si>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</si>
  <si>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</si>
  <si>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</si>
  <si>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 xml:space="preserve">Sum of  Profit </t>
  </si>
  <si>
    <t>Grand Total</t>
  </si>
  <si>
    <t>Australia Total</t>
  </si>
  <si>
    <t>Canada Total</t>
  </si>
  <si>
    <t>France Total</t>
  </si>
  <si>
    <t>Germany Total</t>
  </si>
  <si>
    <t>United Kingdom Total</t>
  </si>
  <si>
    <t>United States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</si>
</sst>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Data Izzy H..xlsx]Sheet1!PivotTable10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Youth (&lt;25)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Sheet1!$A$5:$B$23</c:f>
              <c:multiLvlStrCache>
                <c:ptCount val="12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  <c:pt idx="7">
                    <c:v>F</c:v>
                  </c:pt>
                  <c:pt idx="8">
                    <c:v>M</c:v>
                  </c:pt>
                  <c:pt idx="9">
                    <c:v>F</c:v>
                  </c:pt>
                  <c:pt idx="10">
                    <c:v>M</c:v>
                  </c:pt>
                  <c:pt idx="11">
                    <c:v>F</c:v>
                  </c:pt>
                </c:lvl>
                <c:lvl>
                  <c:pt idx="0">
                    <c:v>Australia</c:v>
                  </c:pt>
                  <c:pt idx="2">
                    <c:v>Canada</c:v>
                  </c:pt>
                  <c:pt idx="4">
                    <c:v>France</c:v>
                  </c:pt>
                  <c:pt idx="6">
                    <c:v>Germany</c:v>
                  </c:pt>
                  <c:pt idx="8">
                    <c:v>United Kingdom</c:v>
                  </c:pt>
                  <c:pt idx="10">
                    <c:v>United States</c:v>
                  </c:pt>
                </c:lvl>
              </c:multiLvlStrCache>
            </c:multiLvlStrRef>
          </c:cat>
          <c:val>
            <c:numRef>
              <c:f>Sheet1!$C$5:$C$23</c:f>
              <c:numCache>
                <c:formatCode>"$"#,##0.00_);[Red]\("$"#,##0.00\)</c:formatCode>
                <c:ptCount val="12"/>
                <c:pt idx="0">
                  <c:v>490</c:v>
                </c:pt>
                <c:pt idx="1">
                  <c:v>2265</c:v>
                </c:pt>
                <c:pt idx="2">
                  <c:v>0</c:v>
                </c:pt>
                <c:pt idx="3">
                  <c:v>0</c:v>
                </c:pt>
                <c:pt idx="4">
                  <c:v>4216</c:v>
                </c:pt>
                <c:pt idx="5">
                  <c:v>6291</c:v>
                </c:pt>
                <c:pt idx="6">
                  <c:v>0</c:v>
                </c:pt>
                <c:pt idx="7">
                  <c:v>0</c:v>
                </c:pt>
                <c:pt idx="8">
                  <c:v>1745</c:v>
                </c:pt>
                <c:pt idx="9">
                  <c:v>1043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7-4EBF-9C67-16072D099FF8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Young Adults (25-34)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Sheet1!$A$5:$B$23</c:f>
              <c:multiLvlStrCache>
                <c:ptCount val="12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  <c:pt idx="7">
                    <c:v>F</c:v>
                  </c:pt>
                  <c:pt idx="8">
                    <c:v>M</c:v>
                  </c:pt>
                  <c:pt idx="9">
                    <c:v>F</c:v>
                  </c:pt>
                  <c:pt idx="10">
                    <c:v>M</c:v>
                  </c:pt>
                  <c:pt idx="11">
                    <c:v>F</c:v>
                  </c:pt>
                </c:lvl>
                <c:lvl>
                  <c:pt idx="0">
                    <c:v>Australia</c:v>
                  </c:pt>
                  <c:pt idx="2">
                    <c:v>Canada</c:v>
                  </c:pt>
                  <c:pt idx="4">
                    <c:v>France</c:v>
                  </c:pt>
                  <c:pt idx="6">
                    <c:v>Germany</c:v>
                  </c:pt>
                  <c:pt idx="8">
                    <c:v>United Kingdom</c:v>
                  </c:pt>
                  <c:pt idx="10">
                    <c:v>United States</c:v>
                  </c:pt>
                </c:lvl>
              </c:multiLvlStrCache>
            </c:multiLvlStrRef>
          </c:cat>
          <c:val>
            <c:numRef>
              <c:f>Sheet1!$D$5:$D$23</c:f>
              <c:numCache>
                <c:formatCode>"$"#,##0.00_);[Red]\("$"#,##0.00\)</c:formatCode>
                <c:ptCount val="12"/>
                <c:pt idx="0">
                  <c:v>2435</c:v>
                </c:pt>
                <c:pt idx="1">
                  <c:v>16204</c:v>
                </c:pt>
                <c:pt idx="2">
                  <c:v>2821</c:v>
                </c:pt>
                <c:pt idx="3">
                  <c:v>6302</c:v>
                </c:pt>
                <c:pt idx="4">
                  <c:v>9420</c:v>
                </c:pt>
                <c:pt idx="5">
                  <c:v>1054</c:v>
                </c:pt>
                <c:pt idx="6">
                  <c:v>0</c:v>
                </c:pt>
                <c:pt idx="7">
                  <c:v>0</c:v>
                </c:pt>
                <c:pt idx="8">
                  <c:v>1043</c:v>
                </c:pt>
                <c:pt idx="9">
                  <c:v>1047</c:v>
                </c:pt>
                <c:pt idx="10">
                  <c:v>2684</c:v>
                </c:pt>
                <c:pt idx="11">
                  <c:v>10952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A47-4EBF-9C67-16072D099FF8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Adults (35-64)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Sheet1!$A$5:$B$23</c:f>
              <c:multiLvlStrCache>
                <c:ptCount val="12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  <c:pt idx="7">
                    <c:v>F</c:v>
                  </c:pt>
                  <c:pt idx="8">
                    <c:v>M</c:v>
                  </c:pt>
                  <c:pt idx="9">
                    <c:v>F</c:v>
                  </c:pt>
                  <c:pt idx="10">
                    <c:v>M</c:v>
                  </c:pt>
                  <c:pt idx="11">
                    <c:v>F</c:v>
                  </c:pt>
                </c:lvl>
                <c:lvl>
                  <c:pt idx="0">
                    <c:v>Australia</c:v>
                  </c:pt>
                  <c:pt idx="2">
                    <c:v>Canada</c:v>
                  </c:pt>
                  <c:pt idx="4">
                    <c:v>France</c:v>
                  </c:pt>
                  <c:pt idx="6">
                    <c:v>Germany</c:v>
                  </c:pt>
                  <c:pt idx="8">
                    <c:v>United Kingdom</c:v>
                  </c:pt>
                  <c:pt idx="10">
                    <c:v>United States</c:v>
                  </c:pt>
                </c:lvl>
              </c:multiLvlStrCache>
            </c:multiLvlStrRef>
          </c:cat>
          <c:val>
            <c:numRef>
              <c:f>Sheet1!$E$5:$E$23</c:f>
              <c:numCache>
                <c:formatCode>"$"#,##0.00_);[Red]\("$"#,##0.00\)</c:formatCode>
                <c:ptCount val="12"/>
                <c:pt idx="0">
                  <c:v>15656</c:v>
                </c:pt>
                <c:pt idx="1">
                  <c:v>13276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5226</c:v>
                </c:pt>
                <c:pt idx="7">
                  <c:v>8410</c:v>
                </c:pt>
                <c:pt idx="8">
                  <c:v>3151</c:v>
                </c:pt>
                <c:pt idx="9">
                  <c:v>1043</c:v>
                </c:pt>
                <c:pt idx="10">
                  <c:v>17078</c:v>
                </c:pt>
                <c:pt idx="11">
                  <c:v>29656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3A47-4EBF-9C67-16072D099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9809800"/>
        <c:axId val="244596744"/>
      </c:barChart>
      <c:catAx>
        <c:axId val="99809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596744"/>
        <c:crosses val="autoZero"/>
        <c:auto val="1"/>
        <c:lblAlgn val="ctr"/>
        <c:lblOffset val="100"/>
        <c:noMultiLvlLbl val="0"/>
      </c:catAx>
      <c:valAx>
        <c:axId val="24459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09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23</xdr:row>
      <xdr:rowOff>171450</xdr:rowOff>
    </xdr:from>
    <xdr:to>
      <xdr:col>5</xdr:col>
      <xdr:colOff>514350</xdr:colOff>
      <xdr:row>38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407C14-B72C-90CB-6E10-1CDAFE586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503817708333" createdVersion="8" refreshedVersion="8" minRefreshableVersion="3" recordCount="88" xr:uid="{B58311BA-CFE5-4D41-956C-1D4F5FD8E2BC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 count="21">
        <n v="4172"/>
        <n v="1054"/>
        <n v="698"/>
        <n v="349"/>
        <n v="2086"/>
        <n v="1043"/>
        <n v="1396"/>
        <n v="1047"/>
        <n v="2108"/>
        <n v="1028"/>
        <n v="4216"/>
        <n v="245"/>
        <n v="2954"/>
        <n v="1488"/>
        <n v="3129"/>
        <n v="3162"/>
        <n v="257"/>
        <n v="980"/>
        <n v="5908"/>
        <n v="490"/>
        <n v="735"/>
      </sharedItems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x v="1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x v="2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x v="3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x v="4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x v="5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x v="5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x v="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x v="0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x v="1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x v="5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x v="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x v="5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x v="5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x v="1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x v="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x v="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x v="9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x v="10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x v="4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x v="11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x v="12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x v="1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x v="4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x v="4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x v="5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x v="11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x v="13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x v="5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x v="14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x v="2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x v="5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x v="3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x v="1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x v="10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x v="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x v="4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x v="1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x v="1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x v="15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x v="16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x v="5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x v="5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x v="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x v="5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x v="3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x v="1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x v="4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x v="4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x v="1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x v="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x v="3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x v="1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x v="9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x v="10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x v="15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x v="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x v="14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x v="5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x v="1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x v="10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x v="17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x v="0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x v="1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x v="0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x v="0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x v="19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x v="4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x v="1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x v="1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x v="0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x v="20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x v="1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x v="1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x v="15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x v="2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x v="15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x v="14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x v="16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x v="5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x v="5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x v="1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x v="1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x v="5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x v="11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x v="0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7200E-C40F-454B-B5D7-62704CEA79A3}" name="PivotTable10" cacheId="223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F23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sortType="descending">
      <items count="4">
        <item x="2"/>
        <item x="1"/>
        <item x="0"/>
        <item t="default"/>
      </items>
    </pivotField>
    <pivotField axis="axisRow" compact="0" outline="0" showAll="0" sortType="descending">
      <items count="3">
        <item x="1"/>
        <item x="0"/>
        <item t="default"/>
      </items>
    </pivotField>
    <pivotField axis="axisRow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>
      <items count="22">
        <item x="11"/>
        <item x="16"/>
        <item x="3"/>
        <item x="19"/>
        <item x="2"/>
        <item x="20"/>
        <item x="17"/>
        <item x="9"/>
        <item x="5"/>
        <item x="7"/>
        <item x="1"/>
        <item x="6"/>
        <item x="13"/>
        <item x="4"/>
        <item x="8"/>
        <item x="12"/>
        <item x="14"/>
        <item x="15"/>
        <item x="0"/>
        <item x="10"/>
        <item x="18"/>
        <item t="default"/>
      </items>
    </pivotField>
    <pivotField compact="0" numFmtId="164" outline="0" showAll="0"/>
    <pivotField compact="0" numFmtId="164" outline="0" showAll="0"/>
  </pivotFields>
  <rowFields count="2">
    <field x="8"/>
    <field x="7"/>
  </rowFields>
  <rowItems count="1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 Profit " fld="16" baseField="0" baseItem="0" numFmtId="164"/>
  </dataFields>
  <chartFormats count="33">
    <chartFormat chart="0" format="98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0" format="99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0" format="100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0" format="101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0" format="102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0" format="103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0" format="104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0" format="105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0" format="106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0" format="107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0" format="108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0" format="109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0" format="110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0" format="111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0" format="112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0" format="113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  <chartFormat chart="0" format="114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0" format="115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0" format="116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0" format="117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0" format="118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0" format="119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0" format="120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0" format="121" series="1">
      <pivotArea type="data" outline="0" fieldPosition="0">
        <references count="4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B6" sqref="B6"/>
    </sheetView>
  </sheetViews>
  <sheetFormatPr defaultRowHeight="15"/>
  <cols>
    <col min="1" max="1" width="13.28515625" bestFit="1" customWidth="1"/>
    <col min="2" max="2" width="10.7109375" bestFit="1" customWidth="1"/>
    <col min="3" max="3" width="4.5703125" bestFit="1" customWidth="1"/>
    <col min="4" max="4" width="10.140625" bestFit="1" customWidth="1"/>
    <col min="6" max="6" width="14.42578125" hidden="1" customWidth="1"/>
    <col min="7" max="7" width="19.7109375" style="8" bestFit="1" customWidth="1"/>
    <col min="8" max="8" width="17.7109375" bestFit="1" customWidth="1"/>
    <col min="9" max="9" width="15.42578125" bestFit="1" customWidth="1"/>
    <col min="10" max="10" width="19.85546875" hidden="1" customWidth="1"/>
    <col min="11" max="11" width="16.28515625" hidden="1" customWidth="1"/>
    <col min="12" max="12" width="14.85546875" hidden="1" customWidth="1"/>
    <col min="13" max="13" width="25" hidden="1" customWidth="1"/>
    <col min="14" max="14" width="15.42578125" bestFit="1" customWidth="1"/>
    <col min="15" max="15" width="10.42578125" bestFit="1" customWidth="1"/>
    <col min="16" max="16" width="11.42578125" bestFit="1" customWidth="1"/>
    <col min="17" max="18" width="9.85546875" bestFit="1" customWidth="1"/>
    <col min="19" max="19" width="11.4257812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0957-493C-44EE-B8C4-82328F1340E4}">
  <dimension ref="A3:F23"/>
  <sheetViews>
    <sheetView tabSelected="1" workbookViewId="0">
      <selection activeCell="G20" sqref="G20"/>
    </sheetView>
  </sheetViews>
  <sheetFormatPr defaultColWidth="9.140625" defaultRowHeight="15"/>
  <cols>
    <col min="1" max="1" width="15.42578125" bestFit="1" customWidth="1"/>
    <col min="2" max="2" width="20.85546875" bestFit="1" customWidth="1"/>
    <col min="3" max="3" width="14.28515625" bestFit="1" customWidth="1"/>
    <col min="4" max="4" width="20" bestFit="1" customWidth="1"/>
    <col min="5" max="5" width="13.85546875" bestFit="1" customWidth="1"/>
    <col min="6" max="6" width="12.5703125" bestFit="1" customWidth="1"/>
    <col min="7" max="7" width="31.42578125" bestFit="1" customWidth="1"/>
    <col min="8" max="8" width="13.85546875" bestFit="1" customWidth="1"/>
    <col min="9" max="9" width="11.42578125" bestFit="1" customWidth="1"/>
    <col min="10" max="10" width="12.5703125" bestFit="1" customWidth="1"/>
    <col min="11" max="11" width="13.85546875" bestFit="1" customWidth="1"/>
    <col min="12" max="12" width="14.42578125" bestFit="1" customWidth="1"/>
    <col min="13" max="13" width="17.7109375" bestFit="1" customWidth="1"/>
    <col min="14" max="14" width="20" bestFit="1" customWidth="1"/>
    <col min="15" max="15" width="13.85546875" bestFit="1" customWidth="1"/>
    <col min="16" max="16" width="20.85546875" bestFit="1" customWidth="1"/>
    <col min="17" max="17" width="20" bestFit="1" customWidth="1"/>
    <col min="18" max="18" width="13.85546875" bestFit="1" customWidth="1"/>
    <col min="19" max="19" width="18.42578125" bestFit="1" customWidth="1"/>
    <col min="20" max="20" width="11.42578125" bestFit="1" customWidth="1"/>
    <col min="21" max="21" width="11.5703125" bestFit="1" customWidth="1"/>
    <col min="22" max="22" width="20" bestFit="1" customWidth="1"/>
    <col min="23" max="23" width="13.85546875" bestFit="1" customWidth="1"/>
    <col min="24" max="24" width="14.28515625" bestFit="1" customWidth="1"/>
    <col min="25" max="25" width="20" bestFit="1" customWidth="1"/>
    <col min="26" max="26" width="12.7109375" bestFit="1" customWidth="1"/>
    <col min="27" max="27" width="11.5703125" bestFit="1" customWidth="1"/>
    <col min="28" max="28" width="20" bestFit="1" customWidth="1"/>
    <col min="29" max="29" width="12.140625" bestFit="1" customWidth="1"/>
    <col min="30" max="30" width="13.85546875" bestFit="1" customWidth="1"/>
    <col min="31" max="31" width="14.42578125" bestFit="1" customWidth="1"/>
    <col min="32" max="32" width="17.7109375" bestFit="1" customWidth="1"/>
    <col min="33" max="33" width="20" bestFit="1" customWidth="1"/>
    <col min="34" max="34" width="13.85546875" bestFit="1" customWidth="1"/>
    <col min="35" max="35" width="20.85546875" bestFit="1" customWidth="1"/>
    <col min="36" max="36" width="20" bestFit="1" customWidth="1"/>
    <col min="37" max="37" width="13.85546875" bestFit="1" customWidth="1"/>
    <col min="38" max="38" width="18.42578125" bestFit="1" customWidth="1"/>
    <col min="39" max="39" width="11.42578125" bestFit="1" customWidth="1"/>
    <col min="40" max="40" width="12.5703125" bestFit="1" customWidth="1"/>
    <col min="41" max="41" width="22.42578125" bestFit="1" customWidth="1"/>
    <col min="42" max="42" width="14" bestFit="1" customWidth="1"/>
    <col min="43" max="43" width="22.42578125" bestFit="1" customWidth="1"/>
    <col min="44" max="44" width="14" bestFit="1" customWidth="1"/>
    <col min="45" max="45" width="31.140625" bestFit="1" customWidth="1"/>
    <col min="46" max="46" width="22.7109375" bestFit="1" customWidth="1"/>
    <col min="47" max="47" width="22.42578125" bestFit="1" customWidth="1"/>
    <col min="48" max="48" width="14" bestFit="1" customWidth="1"/>
    <col min="49" max="49" width="29.5703125" bestFit="1" customWidth="1"/>
    <col min="50" max="50" width="21.140625" bestFit="1" customWidth="1"/>
    <col min="51" max="51" width="22.42578125" bestFit="1" customWidth="1"/>
    <col min="52" max="52" width="14" bestFit="1" customWidth="1"/>
    <col min="53" max="53" width="22.42578125" bestFit="1" customWidth="1"/>
    <col min="54" max="54" width="14" bestFit="1" customWidth="1"/>
    <col min="55" max="55" width="29" bestFit="1" customWidth="1"/>
    <col min="56" max="56" width="20.5703125" bestFit="1" customWidth="1"/>
    <col min="57" max="57" width="22.42578125" bestFit="1" customWidth="1"/>
    <col min="58" max="58" width="14" bestFit="1" customWidth="1"/>
    <col min="59" max="59" width="31.28515625" bestFit="1" customWidth="1"/>
    <col min="60" max="60" width="22.85546875" bestFit="1" customWidth="1"/>
    <col min="61" max="61" width="22.42578125" bestFit="1" customWidth="1"/>
    <col min="62" max="62" width="14" bestFit="1" customWidth="1"/>
    <col min="63" max="63" width="22.42578125" bestFit="1" customWidth="1"/>
    <col min="64" max="64" width="14" bestFit="1" customWidth="1"/>
    <col min="65" max="65" width="22.42578125" bestFit="1" customWidth="1"/>
    <col min="66" max="66" width="14" bestFit="1" customWidth="1"/>
    <col min="67" max="67" width="37.7109375" bestFit="1" customWidth="1"/>
    <col min="68" max="68" width="29.28515625" bestFit="1" customWidth="1"/>
    <col min="69" max="69" width="22.42578125" bestFit="1" customWidth="1"/>
    <col min="70" max="70" width="14" bestFit="1" customWidth="1"/>
    <col min="71" max="71" width="22.42578125" bestFit="1" customWidth="1"/>
    <col min="72" max="72" width="14" bestFit="1" customWidth="1"/>
    <col min="73" max="73" width="35.28515625" bestFit="1" customWidth="1"/>
    <col min="74" max="74" width="26.85546875" bestFit="1" customWidth="1"/>
    <col min="75" max="75" width="23.85546875" bestFit="1" customWidth="1"/>
    <col min="76" max="76" width="15.42578125" bestFit="1" customWidth="1"/>
    <col min="77" max="77" width="27.5703125" bestFit="1" customWidth="1"/>
    <col min="78" max="78" width="19.140625" bestFit="1" customWidth="1"/>
  </cols>
  <sheetData>
    <row r="3" spans="1:6">
      <c r="A3" s="9" t="s">
        <v>156</v>
      </c>
      <c r="C3" s="9" t="s">
        <v>6</v>
      </c>
    </row>
    <row r="4" spans="1:6">
      <c r="A4" s="9" t="s">
        <v>8</v>
      </c>
      <c r="B4" s="9" t="s">
        <v>7</v>
      </c>
      <c r="C4" t="s">
        <v>42</v>
      </c>
      <c r="D4" t="s">
        <v>36</v>
      </c>
      <c r="E4" t="s">
        <v>21</v>
      </c>
      <c r="F4" t="s">
        <v>157</v>
      </c>
    </row>
    <row r="5" spans="1:6">
      <c r="A5" t="s">
        <v>37</v>
      </c>
      <c r="B5" t="s">
        <v>29</v>
      </c>
      <c r="C5" s="2">
        <v>490</v>
      </c>
      <c r="D5" s="2">
        <v>2435</v>
      </c>
      <c r="E5" s="2">
        <v>15656</v>
      </c>
      <c r="F5" s="2">
        <v>18581</v>
      </c>
    </row>
    <row r="6" spans="1:6">
      <c r="B6" t="s">
        <v>22</v>
      </c>
      <c r="C6" s="2">
        <v>2265</v>
      </c>
      <c r="D6" s="2">
        <v>16204</v>
      </c>
      <c r="E6" s="2">
        <v>13276</v>
      </c>
      <c r="F6" s="2">
        <v>31745</v>
      </c>
    </row>
    <row r="7" spans="1:6">
      <c r="A7" t="s">
        <v>158</v>
      </c>
      <c r="C7" s="2">
        <v>2755</v>
      </c>
      <c r="D7" s="2">
        <v>18639</v>
      </c>
      <c r="E7" s="2">
        <v>28932</v>
      </c>
      <c r="F7" s="2">
        <v>50326</v>
      </c>
    </row>
    <row r="8" spans="1:6">
      <c r="A8" t="s">
        <v>57</v>
      </c>
      <c r="B8" t="s">
        <v>29</v>
      </c>
      <c r="C8" s="2">
        <v>0</v>
      </c>
      <c r="D8" s="2">
        <v>2821</v>
      </c>
      <c r="E8" s="2">
        <v>0</v>
      </c>
      <c r="F8" s="2">
        <v>2821</v>
      </c>
    </row>
    <row r="9" spans="1:6">
      <c r="B9" t="s">
        <v>22</v>
      </c>
      <c r="C9" s="2">
        <v>0</v>
      </c>
      <c r="D9" s="2">
        <v>6302</v>
      </c>
      <c r="E9" s="2">
        <v>0</v>
      </c>
      <c r="F9" s="2">
        <v>6302</v>
      </c>
    </row>
    <row r="10" spans="1:6">
      <c r="A10" t="s">
        <v>159</v>
      </c>
      <c r="C10" s="2">
        <v>0</v>
      </c>
      <c r="D10" s="2">
        <v>9123</v>
      </c>
      <c r="E10" s="2">
        <v>0</v>
      </c>
      <c r="F10" s="2">
        <v>9123</v>
      </c>
    </row>
    <row r="11" spans="1:6">
      <c r="A11" t="s">
        <v>86</v>
      </c>
      <c r="B11" t="s">
        <v>29</v>
      </c>
      <c r="C11" s="2">
        <v>4216</v>
      </c>
      <c r="D11" s="2">
        <v>9420</v>
      </c>
      <c r="E11" s="2">
        <v>0</v>
      </c>
      <c r="F11" s="2">
        <v>13636</v>
      </c>
    </row>
    <row r="12" spans="1:6">
      <c r="B12" t="s">
        <v>22</v>
      </c>
      <c r="C12" s="2">
        <v>6291</v>
      </c>
      <c r="D12" s="2">
        <v>1054</v>
      </c>
      <c r="E12" s="2">
        <v>0</v>
      </c>
      <c r="F12" s="2">
        <v>7345</v>
      </c>
    </row>
    <row r="13" spans="1:6">
      <c r="A13" t="s">
        <v>160</v>
      </c>
      <c r="C13" s="2">
        <v>10507</v>
      </c>
      <c r="D13" s="2">
        <v>10474</v>
      </c>
      <c r="E13" s="2">
        <v>0</v>
      </c>
      <c r="F13" s="2">
        <v>20981</v>
      </c>
    </row>
    <row r="14" spans="1:6">
      <c r="A14" t="s">
        <v>49</v>
      </c>
      <c r="B14" t="s">
        <v>29</v>
      </c>
      <c r="C14" s="2">
        <v>0</v>
      </c>
      <c r="D14" s="2">
        <v>0</v>
      </c>
      <c r="E14" s="2">
        <v>5226</v>
      </c>
      <c r="F14" s="2">
        <v>5226</v>
      </c>
    </row>
    <row r="15" spans="1:6">
      <c r="B15" t="s">
        <v>22</v>
      </c>
      <c r="C15" s="2">
        <v>0</v>
      </c>
      <c r="D15" s="2">
        <v>0</v>
      </c>
      <c r="E15" s="2">
        <v>8410</v>
      </c>
      <c r="F15" s="2">
        <v>8410</v>
      </c>
    </row>
    <row r="16" spans="1:6">
      <c r="A16" t="s">
        <v>161</v>
      </c>
      <c r="C16" s="2">
        <v>0</v>
      </c>
      <c r="D16" s="2">
        <v>0</v>
      </c>
      <c r="E16" s="2">
        <v>13636</v>
      </c>
      <c r="F16" s="2">
        <v>13636</v>
      </c>
    </row>
    <row r="17" spans="1:6">
      <c r="A17" t="s">
        <v>30</v>
      </c>
      <c r="B17" t="s">
        <v>29</v>
      </c>
      <c r="C17" s="2">
        <v>1745</v>
      </c>
      <c r="D17" s="2">
        <v>1043</v>
      </c>
      <c r="E17" s="2">
        <v>3151</v>
      </c>
      <c r="F17" s="2">
        <v>5939</v>
      </c>
    </row>
    <row r="18" spans="1:6">
      <c r="B18" t="s">
        <v>22</v>
      </c>
      <c r="C18" s="2">
        <v>1043</v>
      </c>
      <c r="D18" s="2">
        <v>1047</v>
      </c>
      <c r="E18" s="2">
        <v>1043</v>
      </c>
      <c r="F18" s="2">
        <v>3133</v>
      </c>
    </row>
    <row r="19" spans="1:6">
      <c r="A19" t="s">
        <v>162</v>
      </c>
      <c r="C19" s="2">
        <v>2788</v>
      </c>
      <c r="D19" s="2">
        <v>2090</v>
      </c>
      <c r="E19" s="2">
        <v>4194</v>
      </c>
      <c r="F19" s="2">
        <v>9072</v>
      </c>
    </row>
    <row r="20" spans="1:6">
      <c r="A20" t="s">
        <v>23</v>
      </c>
      <c r="B20" t="s">
        <v>29</v>
      </c>
      <c r="C20" s="2">
        <v>0</v>
      </c>
      <c r="D20" s="2">
        <v>2684</v>
      </c>
      <c r="E20" s="2">
        <v>17078</v>
      </c>
      <c r="F20" s="2">
        <v>19762</v>
      </c>
    </row>
    <row r="21" spans="1:6">
      <c r="B21" t="s">
        <v>22</v>
      </c>
      <c r="C21" s="2">
        <v>0</v>
      </c>
      <c r="D21" s="2">
        <v>10952</v>
      </c>
      <c r="E21" s="2">
        <v>29656</v>
      </c>
      <c r="F21" s="2">
        <v>40608</v>
      </c>
    </row>
    <row r="22" spans="1:6">
      <c r="A22" t="s">
        <v>163</v>
      </c>
      <c r="C22" s="2">
        <v>0</v>
      </c>
      <c r="D22" s="2">
        <v>13636</v>
      </c>
      <c r="E22" s="2">
        <v>46734</v>
      </c>
      <c r="F22" s="2">
        <v>60370</v>
      </c>
    </row>
    <row r="23" spans="1:6">
      <c r="A23" t="s">
        <v>157</v>
      </c>
      <c r="C23" s="2">
        <v>16050</v>
      </c>
      <c r="D23" s="2">
        <v>53962</v>
      </c>
      <c r="E23" s="2">
        <v>93496</v>
      </c>
      <c r="F23" s="2">
        <v>163508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7BA752E0-B1BE-4886-A4DE-245DF0C4741D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2026-10-26T13:59:16Z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